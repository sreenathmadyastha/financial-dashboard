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rina\Downloads\"/>
    </mc:Choice>
  </mc:AlternateContent>
  <xr:revisionPtr revIDLastSave="0" documentId="13_ncr:1_{518B42F2-D474-4C93-BB46-9E5FD8B7F2C6}" xr6:coauthVersionLast="47" xr6:coauthVersionMax="47" xr10:uidLastSave="{00000000-0000-0000-0000-000000000000}"/>
  <bookViews>
    <workbookView xWindow="-110" yWindow="-110" windowWidth="25820" windowHeight="15500" tabRatio="500" xr2:uid="{00000000-000D-0000-FFFF-FFFF00000000}"/>
  </bookViews>
  <sheets>
    <sheet name="Test Cases" sheetId="1" r:id="rId1"/>
    <sheet name="How To Use" sheetId="2" r:id="rId2"/>
  </sheets>
  <calcPr calcId="18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I3" i="1" l="1"/>
  <c r="G3" i="1"/>
  <c r="E3" i="1"/>
  <c r="C3" i="1"/>
  <c r="J2" i="1"/>
</calcChain>
</file>

<file path=xl/sharedStrings.xml><?xml version="1.0" encoding="utf-8"?>
<sst xmlns="http://schemas.openxmlformats.org/spreadsheetml/2006/main" count="64" uniqueCount="60">
  <si>
    <t>Summary:</t>
  </si>
  <si>
    <t>PASS</t>
  </si>
  <si>
    <t>FAIL</t>
  </si>
  <si>
    <t>BLOCKED</t>
  </si>
  <si>
    <t>Pass Rate</t>
  </si>
  <si>
    <t>#</t>
  </si>
  <si>
    <t>TC ID</t>
  </si>
  <si>
    <t>Area</t>
  </si>
  <si>
    <t>Test Case Title</t>
  </si>
  <si>
    <t>Priority</t>
  </si>
  <si>
    <t>Packages</t>
  </si>
  <si>
    <t>Test Steps</t>
  </si>
  <si>
    <t>Expected Result</t>
  </si>
  <si>
    <t>Result ▼</t>
  </si>
  <si>
    <t>Notes / Comments</t>
  </si>
  <si>
    <t>TC-001</t>
  </si>
  <si>
    <t>Insights Summary</t>
  </si>
  <si>
    <t>MoneyIn + MoneyOut shown for ARAPpro / ARpro</t>
  </si>
  <si>
    <t>P0</t>
  </si>
  <si>
    <t>1. Log in via bank portal SSO as ARAPpro or ARpro subscriber
2. Navigate to Insights Summary
3. Verify moneyIn amount is visible and non-zero
4. Verify moneyOut amount is visible and non-zero
5. Confirm both values reflect correct date range</t>
  </si>
  <si>
    <t>Both moneyIn and moneyOut are rendered in the Insights Summary widget.</t>
  </si>
  <si>
    <t>Pending</t>
  </si>
  <si>
    <t>TC-002</t>
  </si>
  <si>
    <t>MoneyOut only for APpro (Accounts Payable)</t>
  </si>
  <si>
    <t>APpro</t>
  </si>
  <si>
    <t>1. Log in as APpro-only subscriber
2. Navigate to Insights Summary
3. Confirm moneyOut is rendered correctly
4. Confirm moneyIn section is absent from the DOM
5. Verify FinancialDashboardVisibilityResolver gates moneyIn</t>
  </si>
  <si>
    <t>Only moneyOut rendered. MoneyIn is absent for APpro-only subscribers.</t>
  </si>
  <si>
    <t>TC-003</t>
  </si>
  <si>
    <t>Sponsor Context</t>
  </si>
  <si>
    <t>No Clover banner when Clover not enabled for sponsor</t>
  </si>
  <si>
    <t>P1</t>
  </si>
  <si>
    <t>All</t>
  </si>
  <si>
    <t>1. Log in under a sponsor where Clover is NOT enabled in SponsorContext
2. Navigate through all Insights pages
3. Confirm no Clover banner component is rendered
4. Check network calls for any Clover banner API hit
5. Cross-verify SponsorContextPreProcessor returns cloverEnabled: false</t>
  </si>
  <si>
    <t>Clover banner is entirely absent when sponsor has Clover disabled.</t>
  </si>
  <si>
    <t>How To Use — Insights Release Test Suite</t>
  </si>
  <si>
    <t>Result Column</t>
  </si>
  <si>
    <t>Click any cell in the Result column (col I) and pick from the dropdown: Pass / Fail / Blocked / Pending / Skip</t>
  </si>
  <si>
    <t>Add a Test Case</t>
  </si>
  <si>
    <t>Scroll to the next empty row in 'Test Cases'. Fill in Area, Title, Priority, Packages, Steps, and Expected Result.</t>
  </si>
  <si>
    <t>Priority Guide</t>
  </si>
  <si>
    <t>P0 = must pass before release  |  P1 = high importance  |  P2 = nice to have</t>
  </si>
  <si>
    <t>Result: Pass</t>
  </si>
  <si>
    <t>Test executed successfully. All assertions met.</t>
  </si>
  <si>
    <t>Result: Fail</t>
  </si>
  <si>
    <t>Test failed. Log defect details in the Notes column (col J).</t>
  </si>
  <si>
    <t>Result: Blocked</t>
  </si>
  <si>
    <t>Could not run — environment or dependency issue.</t>
  </si>
  <si>
    <t>Result: Pending</t>
  </si>
  <si>
    <t>Not yet executed (default state for all new cases).</t>
  </si>
  <si>
    <t>Result: Skip</t>
  </si>
  <si>
    <t>Intentionally skipped for this release cycle.</t>
  </si>
  <si>
    <t>Summary Row</t>
  </si>
  <si>
    <t>Row 3 auto-calculates Pass / Fail / Blocked counts and overall Pass Rate %.</t>
  </si>
  <si>
    <t>Release Label</t>
  </si>
  <si>
    <t>Update cell I2 with the release version number before starting each run.</t>
  </si>
  <si>
    <t>Notes Column</t>
  </si>
  <si>
    <t>Use col J to record defect IDs, failure details, or tester observations.</t>
  </si>
  <si>
    <t>FISERV · CFC INSIGHTS PLATFORM — Release Test Suite</t>
  </si>
  <si>
    <t>Release:v1.0.0</t>
  </si>
  <si>
    <t>APARpro, ARpro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</si>
</sst>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23" x14ac:knownFonts="1">
    <font>
      <sz val="11"/>
      <color theme="1"/>
      <name val="Calibri"/>
      <family val="2"/>
      <charset val="1"/>
    </font>
    <font>
      <b/>
      <sz val="14"/>
      <color rgb="FFFFFFFF"/>
      <name val="Arial"/>
      <charset val="1"/>
    </font>
    <font>
      <b/>
      <sz val="10"/>
      <color rgb="FF1F4E79"/>
      <name val="Arial"/>
      <charset val="1"/>
    </font>
    <font>
      <sz val="10"/>
      <color rgb="FF4A6FA5"/>
      <name val="Arial"/>
      <charset val="1"/>
    </font>
    <font>
      <b/>
      <sz val="9"/>
      <color rgb="FF4A6FA5"/>
      <name val="Arial"/>
      <charset val="1"/>
    </font>
    <font>
      <b/>
      <sz val="10"/>
      <color rgb="FF375623"/>
      <name val="Arial"/>
      <charset val="1"/>
    </font>
    <font>
      <sz val="9"/>
      <color rgb="FF375623"/>
      <name val="Arial"/>
      <charset val="1"/>
    </font>
    <font>
      <b/>
      <sz val="10"/>
      <color rgb="FF843C0C"/>
      <name val="Arial"/>
      <charset val="1"/>
    </font>
    <font>
      <sz val="9"/>
      <color rgb="FF843C0C"/>
      <name val="Arial"/>
      <charset val="1"/>
    </font>
    <font>
      <b/>
      <sz val="10"/>
      <color rgb="FF7F6000"/>
      <name val="Arial"/>
      <charset val="1"/>
    </font>
    <font>
      <sz val="9"/>
      <color rgb="FF7F6000"/>
      <name val="Arial"/>
      <charset val="1"/>
    </font>
    <font>
      <b/>
      <sz val="11"/>
      <color rgb="FF375623"/>
      <name val="Arial"/>
      <charset val="1"/>
    </font>
    <font>
      <sz val="9"/>
      <color rgb="FF7A9ABB"/>
      <name val="Arial"/>
      <charset val="1"/>
    </font>
    <font>
      <b/>
      <sz val="9"/>
      <color rgb="FFFFFFFF"/>
      <name val="Arial"/>
      <charset val="1"/>
    </font>
    <font>
      <b/>
      <sz val="10"/>
      <color rgb="FF1A2B3C"/>
      <name val="Arial"/>
      <charset val="1"/>
    </font>
    <font>
      <b/>
      <sz val="9"/>
      <color rgb="FF843C0C"/>
      <name val="Arial"/>
      <charset val="1"/>
    </font>
    <font>
      <sz val="9"/>
      <color rgb="FF4A6FA5"/>
      <name val="Arial"/>
      <charset val="1"/>
    </font>
    <font>
      <b/>
      <sz val="10"/>
      <color rgb="FF595959"/>
      <name val="Arial"/>
      <charset val="1"/>
    </font>
    <font>
      <b/>
      <sz val="9"/>
      <color rgb="FF7F6000"/>
      <name val="Arial"/>
      <charset val="1"/>
    </font>
    <font>
      <b/>
      <sz val="13"/>
      <color rgb="FFFFFFFF"/>
      <name val="Arial"/>
      <charset val="1"/>
    </font>
    <font>
      <sz val="10"/>
      <color rgb="FF1A2B3C"/>
      <name val="Arial"/>
      <charset val="1"/>
    </font>
    <font>
      <sz val="10"/>
      <color rgb="FF2A3A4A"/>
      <name val="Arial"/>
      <charset val="1"/>
    </font>
    <font>
      <b/>
      <sz val="10"/>
      <color rgb="FF808080"/>
      <name val="Arial"/>
      <charset val="1"/>
    </font>
  </fonts>
  <fills count="12">
    <fill>
      <patternFill patternType="none"/>
    </fill>
    <fill>
      <patternFill patternType="gray125"/>
    </fill>
    <fill>
      <patternFill patternType="solid">
        <fgColor rgb="FF1F4E79"/>
        <bgColor rgb="FF2A3A4A"/>
      </patternFill>
    </fill>
    <fill>
      <patternFill patternType="solid">
        <fgColor rgb="FFD6E4F0"/>
        <bgColor rgb="FFE2EFDA"/>
      </patternFill>
    </fill>
    <fill>
      <patternFill patternType="solid">
        <fgColor rgb="FFEBF3FB"/>
        <bgColor rgb="FFF0F7FF"/>
      </patternFill>
    </fill>
    <fill>
      <patternFill patternType="solid">
        <fgColor rgb="FF2E75B6"/>
        <bgColor rgb="FF4A6FA5"/>
      </patternFill>
    </fill>
    <fill>
      <patternFill patternType="solid">
        <fgColor rgb="FFFFFFFF"/>
        <bgColor rgb="FFF5F9FF"/>
      </patternFill>
    </fill>
    <fill>
      <patternFill patternType="solid">
        <fgColor rgb="FFFCE4D6"/>
        <bgColor rgb="FFFFF2CC"/>
      </patternFill>
    </fill>
    <fill>
      <patternFill patternType="solid">
        <fgColor rgb="FFEDEDED"/>
        <bgColor rgb="FFF2F2F2"/>
      </patternFill>
    </fill>
    <fill>
      <patternFill patternType="solid">
        <fgColor rgb="FFF0F7FF"/>
        <bgColor rgb="FFF5F9FF"/>
      </patternFill>
    </fill>
    <fill>
      <patternFill patternType="solid">
        <fgColor rgb="FFFFF2CC"/>
        <bgColor rgb="FFFCE4D6"/>
      </patternFill>
    </fill>
    <fill>
      <patternFill patternType="solid">
        <fgColor rgb="FFF5F9FF"/>
        <bgColor rgb="FFF0F7FF"/>
      </patternFill>
    </fill>
  </fills>
  <borders count="2">
    <border>
      <left/>
      <right/>
      <top/>
      <bottom/>
      <diagonal/>
    </border>
    <border>
      <left style="thin">
        <color rgb="FFBDD7EE"/>
      </left>
      <right style="thin">
        <color rgb="FFBDD7EE"/>
      </right>
      <top style="thin">
        <color rgb="FFBDD7EE"/>
      </top>
      <bottom style="thin">
        <color rgb="FFBDD7EE"/>
      </bottom>
      <diagonal/>
    </border>
  </borders>
  <cellStyleXfs count="1">
    <xf numFmtId="0" fontId="0" fillId="0" borderId="0"/>
  </cellStyleXfs>
  <cellXfs count="39">
    <xf numFmtId="0" fontId="0" fillId="0" borderId="0" xfId="0"/>
    <xf numFmtId="0" fontId="19" fillId="2" borderId="0" xfId="0" applyFont="1" applyFill="1" applyAlignment="1">
      <alignment horizontal="left" vertical="center"/>
    </xf>
    <xf numFmtId="0" fontId="4" fillId="4" borderId="1" xfId="0" applyFont="1" applyFill="1" applyBorder="1" applyAlignment="1">
      <alignment horizontal="left" vertical="center"/>
    </xf>
    <xf numFmtId="0" fontId="2" fillId="3" borderId="0" xfId="0" applyFont="1" applyFill="1" applyAlignment="1">
      <alignment horizontal="left" vertical="center"/>
    </xf>
    <xf numFmtId="0" fontId="1" fillId="2" borderId="0" xfId="0" applyFont="1" applyFill="1" applyAlignment="1">
      <alignment horizontal="left" vertical="center"/>
    </xf>
    <xf numFmtId="0" fontId="2" fillId="3" borderId="0" xfId="0" applyFont="1" applyFill="1" applyAlignment="1">
      <alignment horizontal="center" vertical="center"/>
    </xf>
    <xf numFmtId="164" fontId="3" fillId="3" borderId="0" xfId="0" applyNumberFormat="1" applyFont="1" applyFill="1" applyAlignment="1">
      <alignment horizontal="right" vertical="center"/>
    </xf>
    <xf numFmtId="0" fontId="5" fillId="4" borderId="1" xfId="0" applyFont="1" applyFill="1" applyBorder="1" applyAlignment="1">
      <alignment horizontal="center" vertical="center"/>
    </xf>
    <xf numFmtId="0" fontId="6" fillId="4" borderId="1" xfId="0" applyFont="1" applyFill="1" applyBorder="1"/>
    <xf numFmtId="0" fontId="7" fillId="4" borderId="1" xfId="0" applyFont="1" applyFill="1" applyBorder="1" applyAlignment="1">
      <alignment horizontal="center" vertical="center"/>
    </xf>
    <xf numFmtId="0" fontId="8" fillId="4" borderId="1" xfId="0" applyFont="1" applyFill="1" applyBorder="1"/>
    <xf numFmtId="0" fontId="9" fillId="4" borderId="1" xfId="0" applyFont="1" applyFill="1" applyBorder="1" applyAlignment="1">
      <alignment horizontal="center" vertical="center"/>
    </xf>
    <xf numFmtId="0" fontId="10" fillId="4" borderId="1" xfId="0" applyFont="1" applyFill="1" applyBorder="1"/>
    <xf numFmtId="9" fontId="11" fillId="4" borderId="1" xfId="0" applyNumberFormat="1" applyFont="1" applyFill="1" applyBorder="1" applyAlignment="1">
      <alignment horizontal="center" vertical="center"/>
    </xf>
    <xf numFmtId="0" fontId="12" fillId="4" borderId="1" xfId="0" applyFont="1" applyFill="1" applyBorder="1"/>
    <xf numFmtId="0" fontId="13" fillId="5" borderId="1" xfId="0" applyFont="1" applyFill="1" applyBorder="1" applyAlignment="1">
      <alignment horizontal="center" vertical="center"/>
    </xf>
    <xf numFmtId="0" fontId="13" fillId="2" borderId="1" xfId="0" applyFont="1" applyFill="1" applyBorder="1" applyAlignment="1">
      <alignment horizontal="center" vertical="center"/>
    </xf>
    <xf numFmtId="0" fontId="12" fillId="6" borderId="1" xfId="0" applyFont="1" applyFill="1" applyBorder="1" applyAlignment="1">
      <alignment horizontal="center" vertical="top"/>
    </xf>
    <xf numFmtId="0" fontId="4" fillId="6" borderId="1" xfId="0" applyFont="1" applyFill="1" applyBorder="1" applyAlignment="1">
      <alignment horizontal="center" vertical="top"/>
    </xf>
    <xf numFmtId="0" fontId="12" fillId="6" borderId="1" xfId="0" applyFont="1" applyFill="1" applyBorder="1" applyAlignment="1">
      <alignment horizontal="left" vertical="top" wrapText="1"/>
    </xf>
    <xf numFmtId="0" fontId="14" fillId="6" borderId="1" xfId="0" applyFont="1" applyFill="1" applyBorder="1" applyAlignment="1">
      <alignment horizontal="left" vertical="top" wrapText="1"/>
    </xf>
    <xf numFmtId="0" fontId="15" fillId="7" borderId="1" xfId="0" applyFont="1" applyFill="1" applyBorder="1" applyAlignment="1">
      <alignment horizontal="center" vertical="center"/>
    </xf>
    <xf numFmtId="0" fontId="16" fillId="6" borderId="1" xfId="0" applyFont="1" applyFill="1" applyBorder="1" applyAlignment="1">
      <alignment horizontal="left" vertical="top" wrapText="1"/>
    </xf>
    <xf numFmtId="0" fontId="17" fillId="8" borderId="1" xfId="0" applyFont="1" applyFill="1" applyBorder="1" applyAlignment="1">
      <alignment horizontal="center" vertical="center"/>
    </xf>
    <xf numFmtId="0" fontId="12" fillId="9" borderId="1" xfId="0" applyFont="1" applyFill="1" applyBorder="1" applyAlignment="1">
      <alignment horizontal="center" vertical="top"/>
    </xf>
    <xf numFmtId="0" fontId="4" fillId="9" borderId="1" xfId="0" applyFont="1" applyFill="1" applyBorder="1" applyAlignment="1">
      <alignment horizontal="center" vertical="top"/>
    </xf>
    <xf numFmtId="0" fontId="12" fillId="9" borderId="1" xfId="0" applyFont="1" applyFill="1" applyBorder="1" applyAlignment="1">
      <alignment horizontal="left" vertical="top" wrapText="1"/>
    </xf>
    <xf numFmtId="0" fontId="14" fillId="9" borderId="1" xfId="0" applyFont="1" applyFill="1" applyBorder="1" applyAlignment="1">
      <alignment horizontal="left" vertical="top" wrapText="1"/>
    </xf>
    <xf numFmtId="0" fontId="16" fillId="9" borderId="1" xfId="0" applyFont="1" applyFill="1" applyBorder="1" applyAlignment="1">
      <alignment horizontal="left" vertical="top" wrapText="1"/>
    </xf>
    <xf numFmtId="0" fontId="18" fillId="10" borderId="1" xfId="0" applyFont="1" applyFill="1" applyBorder="1" applyAlignment="1">
      <alignment horizontal="center" vertical="center"/>
    </xf>
    <xf numFmtId="0" fontId="0" fillId="11" borderId="0" xfId="0" applyFill="1"/>
    <xf numFmtId="0" fontId="5" fillId="4" borderId="1" xfId="0" applyFont="1" applyFill="1" applyBorder="1" applyAlignment="1">
      <alignment horizontal="left" vertical="center"/>
    </xf>
    <xf numFmtId="0" fontId="20" fillId="6" borderId="1" xfId="0" applyFont="1" applyFill="1" applyBorder="1" applyAlignment="1">
      <alignment horizontal="left" vertical="center" wrapText="1"/>
    </xf>
    <xf numFmtId="0" fontId="2" fillId="4" borderId="1" xfId="0" applyFont="1" applyFill="1" applyBorder="1" applyAlignment="1">
      <alignment horizontal="left" vertical="center"/>
    </xf>
    <xf numFmtId="0" fontId="21" fillId="6" borderId="1" xfId="0" applyFont="1" applyFill="1" applyBorder="1" applyAlignment="1">
      <alignment horizontal="left" vertical="center" wrapText="1"/>
    </xf>
    <xf numFmtId="0" fontId="9" fillId="4" borderId="1" xfId="0" applyFont="1" applyFill="1" applyBorder="1" applyAlignment="1">
      <alignment horizontal="left" vertical="center"/>
    </xf>
    <xf numFmtId="0" fontId="7" fillId="4" borderId="1" xfId="0" applyFont="1" applyFill="1" applyBorder="1" applyAlignment="1">
      <alignment horizontal="left" vertical="center"/>
    </xf>
    <xf numFmtId="0" fontId="17" fillId="4" borderId="1" xfId="0" applyFont="1" applyFill="1" applyBorder="1" applyAlignment="1">
      <alignment horizontal="left" vertical="center"/>
    </xf>
    <xf numFmtId="0" fontId="22" fillId="4" borderId="1" xfId="0" applyFont="1" applyFill="1" applyBorder="1" applyAlignment="1">
      <alignment horizontal="left" vertical="center"/>
    </xf>
  </cellXfs>
  <cellStyles count="1">
    <cellStyle name="Normal" xfId="0" builtinId="0"/>
  </cellStyles>
  <dxfs count="5">
    <dxf>
      <font>
        <b/>
        <color rgb="FF808080"/>
        <name val="Arial"/>
        <charset val="1"/>
      </font>
      <fill>
        <patternFill>
          <bgColor rgb="FFF2F2F2"/>
        </patternFill>
      </fill>
    </dxf>
    <dxf>
      <font>
        <b/>
        <color rgb="FF595959"/>
        <name val="Arial"/>
        <charset val="1"/>
      </font>
      <fill>
        <patternFill>
          <bgColor rgb="FFEDEDED"/>
        </patternFill>
      </fill>
    </dxf>
    <dxf>
      <font>
        <b/>
        <color rgb="FF7F6000"/>
        <name val="Arial"/>
        <charset val="1"/>
      </font>
      <fill>
        <patternFill>
          <bgColor rgb="FFFFF2CC"/>
        </patternFill>
      </fill>
    </dxf>
    <dxf>
      <font>
        <b/>
        <color rgb="FF843C0C"/>
        <name val="Arial"/>
        <charset val="1"/>
      </font>
      <fill>
        <patternFill>
          <bgColor rgb="FFFCE4D6"/>
        </patternFill>
      </fill>
    </dxf>
    <dxf>
      <font>
        <b/>
        <color rgb="FF375623"/>
        <name val="Arial"/>
        <charset val="1"/>
      </font>
      <fill>
        <patternFill>
          <bgColor rgb="FFE2EFDA"/>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D6E4F0"/>
      <rgbColor rgb="FF808080"/>
      <rgbColor rgb="FF9999FF"/>
      <rgbColor rgb="FF595959"/>
      <rgbColor rgb="FFFFF2CC"/>
      <rgbColor rgb="FFEBF3FB"/>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F0F7FF"/>
      <rgbColor rgb="FFE2EFDA"/>
      <rgbColor rgb="FFF2F2F2"/>
      <rgbColor rgb="FFEDEDED"/>
      <rgbColor rgb="FFF5F9FF"/>
      <rgbColor rgb="FFCC99FF"/>
      <rgbColor rgb="FFFCE4D6"/>
      <rgbColor rgb="FF2E75B6"/>
      <rgbColor rgb="FF33CCCC"/>
      <rgbColor rgb="FF99CC00"/>
      <rgbColor rgb="FFFFCC00"/>
      <rgbColor rgb="FFFF9900"/>
      <rgbColor rgb="FFFF6600"/>
      <rgbColor rgb="FF4A6FA5"/>
      <rgbColor rgb="FF7A9ABB"/>
      <rgbColor rgb="FF1A2B3C"/>
      <rgbColor rgb="FF339966"/>
      <rgbColor rgb="FF003300"/>
      <rgbColor rgb="FF375623"/>
      <rgbColor rgb="FF843C0C"/>
      <rgbColor rgb="FF993366"/>
      <rgbColor rgb="FF1F4E79"/>
      <rgbColor rgb="FF2A3A4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
  <sheetViews>
    <sheetView showGridLines="0" tabSelected="1" zoomScaleNormal="100" workbookViewId="0">
      <pane ySplit="4" topLeftCell="A5" activePane="bottomLeft" state="frozen"/>
      <selection pane="bottomLeft" activeCell="E5" sqref="E5"/>
    </sheetView>
  </sheetViews>
  <sheetFormatPr defaultColWidth="8.6328125" defaultRowHeight="14.5" x14ac:dyDescent="0.35"/>
  <cols>
    <col min="1" max="1" width="6" customWidth="1"/>
    <col min="2" max="2" width="10" customWidth="1"/>
    <col min="3" max="3" width="20" customWidth="1"/>
    <col min="4" max="4" width="40" customWidth="1"/>
    <col min="5" max="5" width="10" customWidth="1"/>
    <col min="6" max="6" width="24" customWidth="1"/>
    <col min="7" max="7" width="52" customWidth="1"/>
    <col min="8" max="8" width="38" customWidth="1"/>
    <col min="9" max="9" width="14" customWidth="1"/>
    <col min="10" max="10" width="30" customWidth="1"/>
  </cols>
  <sheetData>
    <row r="1" spans="1:10" ht="31.5" customHeight="1" x14ac:dyDescent="0.35">
      <c r="A1" s="4" t="s">
        <v>57</v>
      </c>
      <c r="B1" s="4"/>
      <c r="C1" s="4"/>
      <c r="D1" s="4"/>
      <c r="E1" s="4"/>
      <c r="F1" s="4"/>
      <c r="G1" s="4"/>
      <c r="H1" s="4"/>
      <c r="I1" s="4"/>
      <c r="J1" s="4"/>
    </row>
    <row r="2" spans="1:10" ht="19.5" customHeight="1" x14ac:dyDescent="0.35">
      <c r="A2" s="3" t="s">
        <v>58</v>
      </c>
      <c r="B2" s="3"/>
      <c r="C2" s="3"/>
      <c r="D2" s="3"/>
      <c r="E2" s="3"/>
      <c r="F2" s="3"/>
      <c r="G2" s="3"/>
      <c r="H2" s="3"/>
      <c r="I2" s="5"/>
      <c r="J2" s="6">
        <f ca="1">TODAY()</f>
        <v>46159</v>
      </c>
    </row>
    <row r="3" spans="1:10" ht="25.5" customHeight="1" x14ac:dyDescent="0.35">
      <c r="A3" s="2" t="s">
        <v>0</v>
      </c>
      <c r="B3" s="2"/>
      <c r="C3" s="7">
        <f>COUNTIF(I5:I500,"Pass")</f>
        <v>0</v>
      </c>
      <c r="D3" s="8" t="s">
        <v>1</v>
      </c>
      <c r="E3" s="9">
        <f>COUNTIF(I5:I500,"Fail")</f>
        <v>0</v>
      </c>
      <c r="F3" s="10" t="s">
        <v>2</v>
      </c>
      <c r="G3" s="11">
        <f>COUNTIF(I5:I500,"Blocked")</f>
        <v>0</v>
      </c>
      <c r="H3" s="12" t="s">
        <v>3</v>
      </c>
      <c r="I3" s="13">
        <f>IFERROR(COUNTIF(I5:I500,"Pass")/COUNTA(I5:I500),0)</f>
        <v>0</v>
      </c>
      <c r="J3" s="14" t="s">
        <v>4</v>
      </c>
    </row>
    <row r="4" spans="1:10" ht="21.75" customHeight="1" x14ac:dyDescent="0.35">
      <c r="A4" s="15" t="s">
        <v>5</v>
      </c>
      <c r="B4" s="15" t="s">
        <v>6</v>
      </c>
      <c r="C4" s="15" t="s">
        <v>7</v>
      </c>
      <c r="D4" s="15" t="s">
        <v>8</v>
      </c>
      <c r="E4" s="15" t="s">
        <v>9</v>
      </c>
      <c r="F4" s="15" t="s">
        <v>10</v>
      </c>
      <c r="G4" s="15" t="s">
        <v>11</v>
      </c>
      <c r="H4" s="15" t="s">
        <v>12</v>
      </c>
      <c r="I4" s="16" t="s">
        <v>13</v>
      </c>
      <c r="J4" s="15" t="s">
        <v>14</v>
      </c>
    </row>
    <row r="5" spans="1:10" ht="79.5" customHeight="1" x14ac:dyDescent="0.35">
      <c r="A5" s="17">
        <v>1</v>
      </c>
      <c r="B5" s="18" t="s">
        <v>15</v>
      </c>
      <c r="C5" s="19" t="s">
        <v>16</v>
      </c>
      <c r="D5" s="20" t="s">
        <v>17</v>
      </c>
      <c r="E5" s="21" t="s">
        <v>18</v>
      </c>
      <c r="F5" s="19" t="s">
        <v>59</v>
      </c>
      <c r="G5" s="22" t="s">
        <v>19</v>
      </c>
      <c r="H5" s="22" t="s">
        <v>20</v>
      </c>
      <c r="I5" s="23" t="s">
        <v>21</v>
      </c>
      <c r="J5" s="19"/>
    </row>
    <row r="6" spans="1:10" ht="79.5" customHeight="1" x14ac:dyDescent="0.35">
      <c r="A6" s="24">
        <v>2</v>
      </c>
      <c r="B6" s="25" t="s">
        <v>22</v>
      </c>
      <c r="C6" s="26" t="s">
        <v>16</v>
      </c>
      <c r="D6" s="27" t="s">
        <v>23</v>
      </c>
      <c r="E6" s="21" t="s">
        <v>18</v>
      </c>
      <c r="F6" s="26" t="s">
        <v>24</v>
      </c>
      <c r="G6" s="28" t="s">
        <v>25</v>
      </c>
      <c r="H6" s="28" t="s">
        <v>26</v>
      </c>
      <c r="I6" s="23" t="s">
        <v>21</v>
      </c>
      <c r="J6" s="26"/>
    </row>
    <row r="7" spans="1:10" ht="79.5" customHeight="1" x14ac:dyDescent="0.35">
      <c r="A7" s="17">
        <v>3</v>
      </c>
      <c r="B7" s="18" t="s">
        <v>27</v>
      </c>
      <c r="C7" s="19" t="s">
        <v>28</v>
      </c>
      <c r="D7" s="20" t="s">
        <v>29</v>
      </c>
      <c r="E7" s="29" t="s">
        <v>30</v>
      </c>
      <c r="F7" s="19" t="s">
        <v>31</v>
      </c>
      <c r="G7" s="22" t="s">
        <v>32</v>
      </c>
      <c r="H7" s="22" t="s">
        <v>33</v>
      </c>
      <c r="I7" s="23" t="s">
        <v>21</v>
      </c>
      <c r="J7" s="19"/>
    </row>
  </sheetData>
  <mergeCells count="3">
    <mergeCell ref="A1:J1"/>
    <mergeCell ref="A2:H2"/>
    <mergeCell ref="A3:B3"/>
  </mergeCells>
  <conditionalFormatting sqref="I5:I500">
    <cfRule type="containsText" dxfId="4" priority="2" operator="containsText" text="Pass">
      <formula>NOT(ISERROR(SEARCH("Pass",I5)))</formula>
    </cfRule>
    <cfRule type="containsText" dxfId="3" priority="3" operator="containsText" text="Fail">
      <formula>NOT(ISERROR(SEARCH("Fail",I5)))</formula>
    </cfRule>
    <cfRule type="containsText" dxfId="2" priority="4" operator="containsText" text="Blocked">
      <formula>NOT(ISERROR(SEARCH("Blocked",I5)))</formula>
    </cfRule>
    <cfRule type="containsText" dxfId="1" priority="5" operator="containsText" text="Pending">
      <formula>NOT(ISERROR(SEARCH("Pending",I5)))</formula>
    </cfRule>
    <cfRule type="containsText" dxfId="0" priority="6" operator="containsText" text="Skip">
      <formula>NOT(ISERROR(SEARCH("Skip",I5)))</formula>
    </cfRule>
  </conditionalFormatting>
  <dataValidations count="2">
    <dataValidation type="list" showErrorMessage="1" errorTitle="Invalid" error="Choose: Pass, Fail, Blocked, Pending, Skip" sqref="I5:I500" xr:uid="{00000000-0002-0000-0000-000000000000}">
      <formula1>"Pass,Fail,Blocked,Pending,Skip"</formula1>
      <formula2>0</formula2>
    </dataValidation>
    <dataValidation type="list" sqref="E5:E500" xr:uid="{00000000-0002-0000-0000-000001000000}">
      <formula1>"P0,P1,P2"</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2"/>
  <sheetViews>
    <sheetView showGridLines="0" zoomScaleNormal="100" workbookViewId="0">
      <selection sqref="A1:C1"/>
    </sheetView>
  </sheetViews>
  <sheetFormatPr defaultColWidth="8.6328125" defaultRowHeight="14.5" x14ac:dyDescent="0.35"/>
  <cols>
    <col min="1" max="1" width="3" customWidth="1"/>
    <col min="2" max="2" width="22" customWidth="1"/>
    <col min="3" max="3" width="62" customWidth="1"/>
  </cols>
  <sheetData>
    <row r="1" spans="1:3" ht="31.5" customHeight="1" x14ac:dyDescent="0.35">
      <c r="A1" s="1" t="s">
        <v>34</v>
      </c>
      <c r="B1" s="1"/>
      <c r="C1" s="1"/>
    </row>
    <row r="2" spans="1:3" ht="21.75" customHeight="1" x14ac:dyDescent="0.35">
      <c r="A2" s="30"/>
      <c r="B2" s="31" t="s">
        <v>35</v>
      </c>
      <c r="C2" s="32" t="s">
        <v>36</v>
      </c>
    </row>
    <row r="3" spans="1:3" ht="21.75" customHeight="1" x14ac:dyDescent="0.35">
      <c r="A3" s="30"/>
      <c r="B3" s="33" t="s">
        <v>37</v>
      </c>
      <c r="C3" s="34" t="s">
        <v>38</v>
      </c>
    </row>
    <row r="4" spans="1:3" ht="21.75" customHeight="1" x14ac:dyDescent="0.35">
      <c r="A4" s="30"/>
      <c r="B4" s="35" t="s">
        <v>39</v>
      </c>
      <c r="C4" s="34" t="s">
        <v>40</v>
      </c>
    </row>
    <row r="5" spans="1:3" ht="21.75" customHeight="1" x14ac:dyDescent="0.35">
      <c r="A5" s="30"/>
      <c r="B5" s="31" t="s">
        <v>41</v>
      </c>
      <c r="C5" s="34" t="s">
        <v>42</v>
      </c>
    </row>
    <row r="6" spans="1:3" ht="21.75" customHeight="1" x14ac:dyDescent="0.35">
      <c r="A6" s="30"/>
      <c r="B6" s="36" t="s">
        <v>43</v>
      </c>
      <c r="C6" s="34" t="s">
        <v>44</v>
      </c>
    </row>
    <row r="7" spans="1:3" ht="21.75" customHeight="1" x14ac:dyDescent="0.35">
      <c r="A7" s="30"/>
      <c r="B7" s="35" t="s">
        <v>45</v>
      </c>
      <c r="C7" s="34" t="s">
        <v>46</v>
      </c>
    </row>
    <row r="8" spans="1:3" ht="21.75" customHeight="1" x14ac:dyDescent="0.35">
      <c r="A8" s="30"/>
      <c r="B8" s="37" t="s">
        <v>47</v>
      </c>
      <c r="C8" s="34" t="s">
        <v>48</v>
      </c>
    </row>
    <row r="9" spans="1:3" ht="21.75" customHeight="1" x14ac:dyDescent="0.35">
      <c r="A9" s="30"/>
      <c r="B9" s="38" t="s">
        <v>49</v>
      </c>
      <c r="C9" s="34" t="s">
        <v>50</v>
      </c>
    </row>
    <row r="10" spans="1:3" ht="21.75" customHeight="1" x14ac:dyDescent="0.35">
      <c r="A10" s="30"/>
      <c r="B10" s="33" t="s">
        <v>51</v>
      </c>
      <c r="C10" s="34" t="s">
        <v>52</v>
      </c>
    </row>
    <row r="11" spans="1:3" ht="21.75" customHeight="1" x14ac:dyDescent="0.35">
      <c r="A11" s="30"/>
      <c r="B11" s="33" t="s">
        <v>53</v>
      </c>
      <c r="C11" s="34" t="s">
        <v>54</v>
      </c>
    </row>
    <row r="12" spans="1:3" ht="21.75" customHeight="1" x14ac:dyDescent="0.35">
      <c r="A12" s="30"/>
      <c r="B12" s="33" t="s">
        <v>55</v>
      </c>
      <c r="C12" s="34" t="s">
        <v>56</v>
      </c>
    </row>
  </sheetData>
  <mergeCells count="1">
    <mergeCell ref="A1:C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How To Use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Sreenath Madyastha</cp:lastModifiedBy>
  <cp:revision>0</cp:revision>
  <dcterms:created xsi:type="dcterms:W3CDTF">2026-05-17T16:42:53Z</dcterms:created>
  <dcterms:modified xsi:type="dcterms:W3CDTF">2026-05-18T02:02:22Z</dcterms:modified>
  <dc:language>en-US</dc:language>
</cp:coreProperties>
</file>